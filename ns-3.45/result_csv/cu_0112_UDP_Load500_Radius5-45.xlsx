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/Desktop/ns-allinone-3.45/ns-3.45/result_csv/"/>
    </mc:Choice>
  </mc:AlternateContent>
  <xr:revisionPtr revIDLastSave="0" documentId="13_ncr:1_{325E2AEF-73E0-824E-829C-C759BF6F629E}" xr6:coauthVersionLast="47" xr6:coauthVersionMax="47" xr10:uidLastSave="{00000000-0000-0000-0000-000000000000}"/>
  <bookViews>
    <workbookView xWindow="820" yWindow="620" windowWidth="28800" windowHeight="16260" xr2:uid="{38F26BCD-736D-C746-9F00-1E53149B11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V3" i="1" s="1"/>
  <c r="U4" i="1"/>
  <c r="V4" i="1" s="1"/>
  <c r="U5" i="1"/>
  <c r="W5" i="1" s="1"/>
  <c r="X5" i="1" s="1"/>
  <c r="U6" i="1"/>
  <c r="V6" i="1" s="1"/>
  <c r="U7" i="1"/>
  <c r="U8" i="1"/>
  <c r="V8" i="1" s="1"/>
  <c r="U9" i="1"/>
  <c r="V9" i="1" s="1"/>
  <c r="U10" i="1"/>
  <c r="W10" i="1" s="1"/>
  <c r="X10" i="1" s="1"/>
  <c r="U11" i="1"/>
  <c r="V11" i="1" s="1"/>
  <c r="U12" i="1"/>
  <c r="V12" i="1" s="1"/>
  <c r="U13" i="1"/>
  <c r="V13" i="1" s="1"/>
  <c r="U2" i="1"/>
  <c r="V2" i="1" s="1"/>
  <c r="V7" i="1"/>
  <c r="W8" i="1"/>
  <c r="Z8" i="1"/>
  <c r="Z6" i="1"/>
  <c r="X8" i="1" s="1"/>
  <c r="W13" i="1" l="1"/>
  <c r="X13" i="1" s="1"/>
  <c r="Y13" i="1" s="1"/>
  <c r="AC13" i="1" s="1"/>
  <c r="W12" i="1"/>
  <c r="X12" i="1" s="1"/>
  <c r="V10" i="1"/>
  <c r="Y10" i="1" s="1"/>
  <c r="AC10" i="1" s="1"/>
  <c r="W4" i="1"/>
  <c r="X4" i="1" s="1"/>
  <c r="Y4" i="1" s="1"/>
  <c r="AC4" i="1" s="1"/>
  <c r="AC9" i="1"/>
  <c r="AC8" i="1"/>
  <c r="W11" i="1"/>
  <c r="X11" i="1" s="1"/>
  <c r="Y11" i="1" s="1"/>
  <c r="AC11" i="1" s="1"/>
  <c r="V5" i="1"/>
  <c r="Y8" i="1"/>
  <c r="W9" i="1"/>
  <c r="X9" i="1" s="1"/>
  <c r="Y9" i="1" s="1"/>
  <c r="W2" i="1"/>
  <c r="X2" i="1" s="1"/>
  <c r="Y2" i="1" s="1"/>
  <c r="AC2" i="1" s="1"/>
  <c r="Y12" i="1"/>
  <c r="AC12" i="1" s="1"/>
  <c r="Y5" i="1"/>
  <c r="AC5" i="1" s="1"/>
  <c r="W7" i="1"/>
  <c r="X7" i="1" s="1"/>
  <c r="Y7" i="1" s="1"/>
  <c r="AC7" i="1" s="1"/>
  <c r="W3" i="1"/>
  <c r="X3" i="1" s="1"/>
  <c r="Y3" i="1" s="1"/>
  <c r="AC3" i="1" s="1"/>
  <c r="W6" i="1"/>
  <c r="X6" i="1" s="1"/>
  <c r="Y6" i="1" s="1"/>
  <c r="AC6" i="1" s="1"/>
</calcChain>
</file>

<file path=xl/sharedStrings.xml><?xml version="1.0" encoding="utf-8"?>
<sst xmlns="http://schemas.openxmlformats.org/spreadsheetml/2006/main" count="153" uniqueCount="37">
  <si>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</si>
  <si>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</si>
  <si>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</si>
  <si>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</si>
  <si>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</si>
  <si>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</si>
  <si>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</si>
  <si>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</si>
  <si>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</si>
  <si>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</si>
  <si>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</si>
  <si>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</si>
  <si>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</si>
  <si>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</si>
  <si>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</si>
  <si>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</si>
  <si>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</si>
  <si>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</si>
  <si>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</si>
  <si>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</si>
  <si>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UDP</t>
  </si>
  <si>
    <t>Auto</t>
  </si>
  <si>
    <t>意味</t>
  </si>
  <si>
    <t>値（例）</t>
  </si>
  <si>
    <t>ノイズフロア (N_0) [dBm]</t>
  </si>
  <si>
    <t>ロジスティック係数 a</t>
  </si>
  <si>
    <t>ロジスティック係数 b</t>
  </si>
  <si>
    <t>最大PHYレート Rmax [Mbps]</t>
  </si>
  <si>
    <t>パケット長 L [bit]</t>
  </si>
  <si>
    <t>MAC/PHYオーバヘッド T_oh [s]</t>
  </si>
  <si>
    <t>フレーム生成率 λ [frame/s]</t>
  </si>
  <si>
    <t>PER</t>
    <phoneticPr fontId="1"/>
  </si>
  <si>
    <t>再送込み送信回数</t>
  </si>
  <si>
    <t>実効レート Reff</t>
  </si>
  <si>
    <t>T_data</t>
    <phoneticPr fontId="1"/>
  </si>
  <si>
    <t>E</t>
    <phoneticPr fontId="1"/>
  </si>
  <si>
    <t>理論Utilization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</si>
</sst>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Sheet1!$S$2:$S$13</c:f>
              <c:numCache>
                <c:formatCode>General</c:formatCode>
                <c:ptCount val="12"/>
                <c:pt idx="0">
                  <c:v>-51.626199999999997</c:v>
                </c:pt>
                <c:pt idx="1">
                  <c:v>-60.6571</c:v>
                </c:pt>
                <c:pt idx="2">
                  <c:v>-63.564399999999999</c:v>
                </c:pt>
                <c:pt idx="3">
                  <c:v>-65.939800000000005</c:v>
                </c:pt>
                <c:pt idx="4">
                  <c:v>-67.9482</c:v>
                </c:pt>
                <c:pt idx="5">
                  <c:v>-69.688000000000002</c:v>
                </c:pt>
                <c:pt idx="6">
                  <c:v>-72.595299999999995</c:v>
                </c:pt>
                <c:pt idx="7">
                  <c:v>-74.970699999999994</c:v>
                </c:pt>
                <c:pt idx="8">
                  <c:v>-76.979100000000003</c:v>
                </c:pt>
                <c:pt idx="9">
                  <c:v>-78.718900000000005</c:v>
                </c:pt>
                <c:pt idx="10">
                  <c:v>-79.508799999999994</c:v>
                </c:pt>
                <c:pt idx="11">
                  <c:v>-80.253500000000003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D7-9A41-B5A6-EB39B0D30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スループットと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Sheet1!$J$2:$J$13</c:f>
              <c:numCache>
                <c:formatCode>General</c:formatCode>
                <c:ptCount val="12"/>
                <c:pt idx="0">
                  <c:v>306.72399999999999</c:v>
                </c:pt>
                <c:pt idx="1">
                  <c:v>306.51499999999999</c:v>
                </c:pt>
                <c:pt idx="2">
                  <c:v>271.68299999999999</c:v>
                </c:pt>
                <c:pt idx="3">
                  <c:v>236.768</c:v>
                </c:pt>
                <c:pt idx="4">
                  <c:v>224.94499999999999</c:v>
                </c:pt>
                <c:pt idx="5">
                  <c:v>192.22</c:v>
                </c:pt>
                <c:pt idx="6">
                  <c:v>151.84700000000001</c:v>
                </c:pt>
                <c:pt idx="7">
                  <c:v>141.15700000000001</c:v>
                </c:pt>
                <c:pt idx="8">
                  <c:v>103.98399999999999</c:v>
                </c:pt>
                <c:pt idx="9">
                  <c:v>67.741299999999995</c:v>
                </c:pt>
                <c:pt idx="10">
                  <c:v>78.376599999999996</c:v>
                </c:pt>
                <c:pt idx="11">
                  <c:v>72.403199999999998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B-B846-A60F-3A3ACA132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平均遅延と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Sheet1!$L$2:$L$13</c:f>
              <c:numCache>
                <c:formatCode>General</c:formatCode>
                <c:ptCount val="12"/>
                <c:pt idx="0">
                  <c:v>398.62400000000002</c:v>
                </c:pt>
                <c:pt idx="1">
                  <c:v>398.89100000000002</c:v>
                </c:pt>
                <c:pt idx="2">
                  <c:v>448.53199999999998</c:v>
                </c:pt>
                <c:pt idx="3">
                  <c:v>511.70499999999998</c:v>
                </c:pt>
                <c:pt idx="4">
                  <c:v>537.99099999999999</c:v>
                </c:pt>
                <c:pt idx="5">
                  <c:v>624.54100000000005</c:v>
                </c:pt>
                <c:pt idx="6">
                  <c:v>779.22699999999998</c:v>
                </c:pt>
                <c:pt idx="7">
                  <c:v>835.32899999999995</c:v>
                </c:pt>
                <c:pt idx="8">
                  <c:v>1105.56</c:v>
                </c:pt>
                <c:pt idx="9">
                  <c:v>1627.51</c:v>
                </c:pt>
                <c:pt idx="10">
                  <c:v>1427.49</c:v>
                </c:pt>
                <c:pt idx="11">
                  <c:v>1540.06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4E-5F4E-AA7C-0F39C7241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再送回数と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Sheet1!$N$2:$N$13</c:f>
              <c:numCache>
                <c:formatCode>General</c:formatCode>
                <c:ptCount val="12"/>
                <c:pt idx="0">
                  <c:v>0</c:v>
                </c:pt>
                <c:pt idx="1">
                  <c:v>382</c:v>
                </c:pt>
                <c:pt idx="2">
                  <c:v>18807</c:v>
                </c:pt>
                <c:pt idx="3">
                  <c:v>3720</c:v>
                </c:pt>
                <c:pt idx="4">
                  <c:v>25265</c:v>
                </c:pt>
                <c:pt idx="5">
                  <c:v>6476</c:v>
                </c:pt>
                <c:pt idx="6">
                  <c:v>3534</c:v>
                </c:pt>
                <c:pt idx="7">
                  <c:v>25827</c:v>
                </c:pt>
                <c:pt idx="8">
                  <c:v>4167</c:v>
                </c:pt>
                <c:pt idx="9">
                  <c:v>85139</c:v>
                </c:pt>
                <c:pt idx="10">
                  <c:v>4182</c:v>
                </c:pt>
                <c:pt idx="11">
                  <c:v>5205</c:v>
                </c:pt>
              </c:numCache>
            </c:numRef>
          </c:xVal>
          <c:yVal>
            <c:numRef>
              <c:f>Sheet1!$I$2:$I$13</c:f>
              <c:numCache>
                <c:formatCode>General</c:formatCode>
                <c:ptCount val="12"/>
                <c:pt idx="0">
                  <c:v>88.979399999999998</c:v>
                </c:pt>
                <c:pt idx="1">
                  <c:v>88.964600000000004</c:v>
                </c:pt>
                <c:pt idx="2">
                  <c:v>89.128900000000002</c:v>
                </c:pt>
                <c:pt idx="3">
                  <c:v>90.739000000000004</c:v>
                </c:pt>
                <c:pt idx="4">
                  <c:v>90.171899999999994</c:v>
                </c:pt>
                <c:pt idx="5">
                  <c:v>91.762100000000004</c:v>
                </c:pt>
                <c:pt idx="6">
                  <c:v>92.943399999999997</c:v>
                </c:pt>
                <c:pt idx="7">
                  <c:v>92.346299999999999</c:v>
                </c:pt>
                <c:pt idx="8">
                  <c:v>94.153800000000004</c:v>
                </c:pt>
                <c:pt idx="9">
                  <c:v>92.466999999999999</c:v>
                </c:pt>
                <c:pt idx="10">
                  <c:v>94.687700000000007</c:v>
                </c:pt>
                <c:pt idx="11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7-BA42-85B1-B63701D7B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再送率と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Sheet1!$P$15:$P$25</c:f>
              <c:numCache>
                <c:formatCode>General</c:formatCode>
                <c:ptCount val="11"/>
                <c:pt idx="0">
                  <c:v>1.1139700000000001E-2</c:v>
                </c:pt>
                <c:pt idx="1">
                  <c:v>5.7142600000000002E-2</c:v>
                </c:pt>
                <c:pt idx="2">
                  <c:v>1.2233099999999999</c:v>
                </c:pt>
                <c:pt idx="3">
                  <c:v>0.74781399999999998</c:v>
                </c:pt>
                <c:pt idx="4">
                  <c:v>9.1634600000000006</c:v>
                </c:pt>
                <c:pt idx="5">
                  <c:v>1.9677500000000001</c:v>
                </c:pt>
                <c:pt idx="6">
                  <c:v>1.42537</c:v>
                </c:pt>
                <c:pt idx="7">
                  <c:v>1.9174800000000001</c:v>
                </c:pt>
                <c:pt idx="8">
                  <c:v>1.3883099999999999</c:v>
                </c:pt>
                <c:pt idx="9">
                  <c:v>0.94703899999999996</c:v>
                </c:pt>
                <c:pt idx="10">
                  <c:v>1.6297900000000001</c:v>
                </c:pt>
              </c:numCache>
            </c:numRef>
          </c:xVal>
          <c:yVal>
            <c:numRef>
              <c:f>Sheet1!$I$15:$I$25</c:f>
              <c:numCache>
                <c:formatCode>General</c:formatCode>
                <c:ptCount val="11"/>
                <c:pt idx="0">
                  <c:v>69.7453</c:v>
                </c:pt>
                <c:pt idx="1">
                  <c:v>69.754599999999996</c:v>
                </c:pt>
                <c:pt idx="2">
                  <c:v>70.157799999999995</c:v>
                </c:pt>
                <c:pt idx="3">
                  <c:v>73.394499999999994</c:v>
                </c:pt>
                <c:pt idx="4">
                  <c:v>76.611900000000006</c:v>
                </c:pt>
                <c:pt idx="5">
                  <c:v>80.869299999999996</c:v>
                </c:pt>
                <c:pt idx="6">
                  <c:v>81.471299999999999</c:v>
                </c:pt>
                <c:pt idx="7">
                  <c:v>81.650700000000001</c:v>
                </c:pt>
                <c:pt idx="8">
                  <c:v>91.717699999999994</c:v>
                </c:pt>
                <c:pt idx="9">
                  <c:v>92.943399999999997</c:v>
                </c:pt>
                <c:pt idx="10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31-D24E-86FA-EE5150C91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スループットと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Sheet1!$J$15:$J$25</c:f>
              <c:numCache>
                <c:formatCode>General</c:formatCode>
                <c:ptCount val="11"/>
                <c:pt idx="0">
                  <c:v>197.517</c:v>
                </c:pt>
                <c:pt idx="1">
                  <c:v>197.517</c:v>
                </c:pt>
                <c:pt idx="2">
                  <c:v>197.517</c:v>
                </c:pt>
                <c:pt idx="3">
                  <c:v>197.51499999999999</c:v>
                </c:pt>
                <c:pt idx="4">
                  <c:v>197.48400000000001</c:v>
                </c:pt>
                <c:pt idx="5">
                  <c:v>197.43799999999999</c:v>
                </c:pt>
                <c:pt idx="6">
                  <c:v>196.84399999999999</c:v>
                </c:pt>
                <c:pt idx="7">
                  <c:v>196.83</c:v>
                </c:pt>
                <c:pt idx="8">
                  <c:v>192.05199999999999</c:v>
                </c:pt>
                <c:pt idx="9">
                  <c:v>151.84700000000001</c:v>
                </c:pt>
                <c:pt idx="10">
                  <c:v>103.98399999999999</c:v>
                </c:pt>
              </c:numCache>
            </c:numRef>
          </c:xVal>
          <c:yVal>
            <c:numRef>
              <c:f>Sheet1!$I$15:$I$25</c:f>
              <c:numCache>
                <c:formatCode>General</c:formatCode>
                <c:ptCount val="11"/>
                <c:pt idx="0">
                  <c:v>69.7453</c:v>
                </c:pt>
                <c:pt idx="1">
                  <c:v>69.754599999999996</c:v>
                </c:pt>
                <c:pt idx="2">
                  <c:v>70.157799999999995</c:v>
                </c:pt>
                <c:pt idx="3">
                  <c:v>73.394499999999994</c:v>
                </c:pt>
                <c:pt idx="4">
                  <c:v>76.611900000000006</c:v>
                </c:pt>
                <c:pt idx="5">
                  <c:v>80.869299999999996</c:v>
                </c:pt>
                <c:pt idx="6">
                  <c:v>81.471299999999999</c:v>
                </c:pt>
                <c:pt idx="7">
                  <c:v>81.650700000000001</c:v>
                </c:pt>
                <c:pt idx="8">
                  <c:v>91.717699999999994</c:v>
                </c:pt>
                <c:pt idx="9">
                  <c:v>92.943399999999997</c:v>
                </c:pt>
                <c:pt idx="10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98-5F44-B3F1-5564463C1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RSSI</a:t>
            </a:r>
            <a:r>
              <a:rPr lang="ja-JP" altLang="en-US"/>
              <a:t>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Sheet1!$S$15:$S$25</c:f>
              <c:numCache>
                <c:formatCode>General</c:formatCode>
                <c:ptCount val="11"/>
                <c:pt idx="0">
                  <c:v>-51.626199999999997</c:v>
                </c:pt>
                <c:pt idx="1">
                  <c:v>-60.6571</c:v>
                </c:pt>
                <c:pt idx="2">
                  <c:v>-61.898899999999998</c:v>
                </c:pt>
                <c:pt idx="3">
                  <c:v>-63.032499999999999</c:v>
                </c:pt>
                <c:pt idx="4">
                  <c:v>-64.075400000000002</c:v>
                </c:pt>
                <c:pt idx="5">
                  <c:v>-64.567099999999996</c:v>
                </c:pt>
                <c:pt idx="6">
                  <c:v>-65.040899999999993</c:v>
                </c:pt>
                <c:pt idx="7">
                  <c:v>-65.939800000000005</c:v>
                </c:pt>
                <c:pt idx="8">
                  <c:v>-69.688000000000002</c:v>
                </c:pt>
                <c:pt idx="9">
                  <c:v>-72.595299999999995</c:v>
                </c:pt>
                <c:pt idx="10">
                  <c:v>-76.979100000000003</c:v>
                </c:pt>
              </c:numCache>
            </c:numRef>
          </c:xVal>
          <c:yVal>
            <c:numRef>
              <c:f>Sheet1!$I$15:$I$25</c:f>
              <c:numCache>
                <c:formatCode>General</c:formatCode>
                <c:ptCount val="11"/>
                <c:pt idx="0">
                  <c:v>69.7453</c:v>
                </c:pt>
                <c:pt idx="1">
                  <c:v>69.754599999999996</c:v>
                </c:pt>
                <c:pt idx="2">
                  <c:v>70.157799999999995</c:v>
                </c:pt>
                <c:pt idx="3">
                  <c:v>73.394499999999994</c:v>
                </c:pt>
                <c:pt idx="4">
                  <c:v>76.611900000000006</c:v>
                </c:pt>
                <c:pt idx="5">
                  <c:v>80.869299999999996</c:v>
                </c:pt>
                <c:pt idx="6">
                  <c:v>81.471299999999999</c:v>
                </c:pt>
                <c:pt idx="7">
                  <c:v>81.650700000000001</c:v>
                </c:pt>
                <c:pt idx="8">
                  <c:v>91.717699999999994</c:v>
                </c:pt>
                <c:pt idx="9">
                  <c:v>92.943399999999997</c:v>
                </c:pt>
                <c:pt idx="10">
                  <c:v>94.153800000000004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AE-334D-A050-4303458E2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再送率と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Sheet1!$S$27:$S$35</c:f>
              <c:numCache>
                <c:formatCode>General</c:formatCode>
                <c:ptCount val="9"/>
                <c:pt idx="0">
                  <c:v>-51.626199999999997</c:v>
                </c:pt>
                <c:pt idx="1">
                  <c:v>-60.6571</c:v>
                </c:pt>
                <c:pt idx="2">
                  <c:v>-65.939800000000005</c:v>
                </c:pt>
                <c:pt idx="3">
                  <c:v>-69.688000000000002</c:v>
                </c:pt>
                <c:pt idx="4">
                  <c:v>-72.595299999999995</c:v>
                </c:pt>
                <c:pt idx="5">
                  <c:v>-74.970699999999994</c:v>
                </c:pt>
                <c:pt idx="6">
                  <c:v>-76.979100000000003</c:v>
                </c:pt>
                <c:pt idx="7">
                  <c:v>-78.718900000000005</c:v>
                </c:pt>
                <c:pt idx="8">
                  <c:v>-80.253500000000003</c:v>
                </c:pt>
              </c:numCache>
            </c:numRef>
          </c:xVal>
          <c:yVal>
            <c:numRef>
              <c:f>Sheet1!$I$27:$I$35</c:f>
              <c:numCache>
                <c:formatCode>General</c:formatCode>
                <c:ptCount val="9"/>
                <c:pt idx="0">
                  <c:v>86.1387</c:v>
                </c:pt>
                <c:pt idx="1">
                  <c:v>86.163399999999996</c:v>
                </c:pt>
                <c:pt idx="2">
                  <c:v>90.739000000000004</c:v>
                </c:pt>
                <c:pt idx="3">
                  <c:v>91.762100000000004</c:v>
                </c:pt>
                <c:pt idx="4">
                  <c:v>92.943399999999997</c:v>
                </c:pt>
                <c:pt idx="5">
                  <c:v>92.346299999999999</c:v>
                </c:pt>
                <c:pt idx="6">
                  <c:v>94.153800000000004</c:v>
                </c:pt>
                <c:pt idx="7">
                  <c:v>92.466999999999999</c:v>
                </c:pt>
                <c:pt idx="8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0F-DD42-A05B-234A85A30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  <c:max val="-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スループットと</a:t>
            </a:r>
            <a:r>
              <a:rPr lang="en-US" altLang="ja-JP"/>
              <a:t>Utilization(%)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Utilization(%)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Sheet1!$J$27:$J$35</c:f>
              <c:numCache>
                <c:formatCode>General</c:formatCode>
                <c:ptCount val="9"/>
                <c:pt idx="0">
                  <c:v>290.58800000000002</c:v>
                </c:pt>
                <c:pt idx="1">
                  <c:v>290.57400000000001</c:v>
                </c:pt>
                <c:pt idx="2">
                  <c:v>236.768</c:v>
                </c:pt>
                <c:pt idx="3">
                  <c:v>192.22</c:v>
                </c:pt>
                <c:pt idx="4">
                  <c:v>151.84700000000001</c:v>
                </c:pt>
                <c:pt idx="5">
                  <c:v>141.15700000000001</c:v>
                </c:pt>
                <c:pt idx="6">
                  <c:v>103.98399999999999</c:v>
                </c:pt>
                <c:pt idx="7">
                  <c:v>67.741299999999995</c:v>
                </c:pt>
                <c:pt idx="8">
                  <c:v>72.403199999999998</c:v>
                </c:pt>
              </c:numCache>
            </c:numRef>
          </c:xVal>
          <c:yVal>
            <c:numRef>
              <c:f>Sheet1!$I$27:$I$35</c:f>
              <c:numCache>
                <c:formatCode>General</c:formatCode>
                <c:ptCount val="9"/>
                <c:pt idx="0">
                  <c:v>86.1387</c:v>
                </c:pt>
                <c:pt idx="1">
                  <c:v>86.163399999999996</c:v>
                </c:pt>
                <c:pt idx="2">
                  <c:v>90.739000000000004</c:v>
                </c:pt>
                <c:pt idx="3">
                  <c:v>91.762100000000004</c:v>
                </c:pt>
                <c:pt idx="4">
                  <c:v>92.943399999999997</c:v>
                </c:pt>
                <c:pt idx="5">
                  <c:v>92.346299999999999</c:v>
                </c:pt>
                <c:pt idx="6">
                  <c:v>94.153800000000004</c:v>
                </c:pt>
                <c:pt idx="7">
                  <c:v>92.466999999999999</c:v>
                </c:pt>
                <c:pt idx="8">
                  <c:v>94.642399999999995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4-B342-81BB-25F738A06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709504"/>
        <c:axId val="1313706816"/>
      </c:scatterChart>
      <c:valAx>
        <c:axId val="1313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6816"/>
        <c:crosses val="autoZero"/>
        <c:crossBetween val="midCat"/>
      </c:valAx>
      <c:valAx>
        <c:axId val="131370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3709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711200</xdr:colOff>
      <xdr:row>13</xdr:row>
      <xdr:rowOff>220134</xdr:rowOff>
    </xdr:from>
    <xdr:to>
      <xdr:col>41</xdr:col>
      <xdr:colOff>529167</xdr:colOff>
      <xdr:row>24</xdr:row>
      <xdr:rowOff>169334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C954145-C447-F341-A4EC-E97F22291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103715</xdr:colOff>
      <xdr:row>17</xdr:row>
      <xdr:rowOff>84666</xdr:rowOff>
    </xdr:from>
    <xdr:to>
      <xdr:col>31</xdr:col>
      <xdr:colOff>861481</xdr:colOff>
      <xdr:row>28</xdr:row>
      <xdr:rowOff>33866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5DE8C5A9-D5F2-EB4A-9008-B3EF887C9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71966</xdr:colOff>
      <xdr:row>3</xdr:row>
      <xdr:rowOff>48682</xdr:rowOff>
    </xdr:from>
    <xdr:to>
      <xdr:col>36</xdr:col>
      <xdr:colOff>838199</xdr:colOff>
      <xdr:row>13</xdr:row>
      <xdr:rowOff>251882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2AF3B2BE-2503-4943-AB97-B67120F48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880533</xdr:colOff>
      <xdr:row>3</xdr:row>
      <xdr:rowOff>14815</xdr:rowOff>
    </xdr:from>
    <xdr:to>
      <xdr:col>41</xdr:col>
      <xdr:colOff>698500</xdr:colOff>
      <xdr:row>13</xdr:row>
      <xdr:rowOff>218015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20C58657-D9D7-6149-AC8E-D3DFAF8C6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491067</xdr:colOff>
      <xdr:row>14</xdr:row>
      <xdr:rowOff>167215</xdr:rowOff>
    </xdr:from>
    <xdr:to>
      <xdr:col>27</xdr:col>
      <xdr:colOff>309034</xdr:colOff>
      <xdr:row>25</xdr:row>
      <xdr:rowOff>116415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DBCCF522-9E66-0343-9712-BC6661056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711199</xdr:colOff>
      <xdr:row>14</xdr:row>
      <xdr:rowOff>150283</xdr:rowOff>
    </xdr:from>
    <xdr:to>
      <xdr:col>31</xdr:col>
      <xdr:colOff>529165</xdr:colOff>
      <xdr:row>25</xdr:row>
      <xdr:rowOff>99483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2683D4E8-1C0F-FA4B-9A14-9579108AE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16933</xdr:colOff>
      <xdr:row>14</xdr:row>
      <xdr:rowOff>251883</xdr:rowOff>
    </xdr:from>
    <xdr:to>
      <xdr:col>36</xdr:col>
      <xdr:colOff>783166</xdr:colOff>
      <xdr:row>25</xdr:row>
      <xdr:rowOff>201083</xdr:rowOff>
    </xdr:to>
    <xdr:graphicFrame macro="">
      <xdr:nvGraphicFramePr>
        <xdr:cNvPr id="20" name="グラフ 19">
          <a:extLst>
            <a:ext uri="{FF2B5EF4-FFF2-40B4-BE49-F238E27FC236}">
              <a16:creationId xmlns:a16="http://schemas.microsoft.com/office/drawing/2014/main" id="{17C37088-D518-414A-8B8C-CC76E9A5A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677333</xdr:colOff>
      <xdr:row>26</xdr:row>
      <xdr:rowOff>14816</xdr:rowOff>
    </xdr:from>
    <xdr:to>
      <xdr:col>27</xdr:col>
      <xdr:colOff>495300</xdr:colOff>
      <xdr:row>36</xdr:row>
      <xdr:rowOff>218016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C72D05A7-347E-1E41-B125-4AC2F96C0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660400</xdr:colOff>
      <xdr:row>26</xdr:row>
      <xdr:rowOff>16934</xdr:rowOff>
    </xdr:from>
    <xdr:to>
      <xdr:col>31</xdr:col>
      <xdr:colOff>478366</xdr:colOff>
      <xdr:row>36</xdr:row>
      <xdr:rowOff>220134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8792A546-0779-F349-8946-17663B981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11BD-1072-6F43-B943-37506282C879}">
  <dimension ref="A1:AC35"/>
  <sheetViews>
    <sheetView tabSelected="1" zoomScale="75" workbookViewId="0">
      <selection activeCell="J8" sqref="J8"/>
    </sheetView>
  </sheetViews>
  <sheetFormatPr baseColWidth="10" defaultRowHeight="20"/>
  <cols>
    <col min="9" max="9" width="12.5703125" customWidth="1"/>
    <col min="10" max="10" width="15.42578125" customWidth="1"/>
    <col min="12" max="12" width="13" customWidth="1"/>
    <col min="13" max="13" width="13.7109375" customWidth="1"/>
    <col min="14" max="14" width="12.5703125" customWidth="1"/>
    <col min="15" max="15" width="10.85546875" customWidth="1"/>
    <col min="16" max="16" width="14.140625" customWidth="1"/>
    <col min="17" max="17" width="14.85546875" customWidth="1"/>
    <col min="19" max="19" width="13.140625" customWidth="1"/>
    <col min="22" max="22" width="14.5703125" customWidth="1"/>
    <col min="23" max="23" width="14.42578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AA1" s="1" t="s">
        <v>22</v>
      </c>
      <c r="AB1" s="1" t="s">
        <v>23</v>
      </c>
      <c r="AC1" t="s">
        <v>36</v>
      </c>
    </row>
    <row r="2" spans="1:29">
      <c r="A2">
        <v>1</v>
      </c>
      <c r="B2">
        <v>5</v>
      </c>
      <c r="C2">
        <v>500</v>
      </c>
      <c r="D2">
        <v>1500</v>
      </c>
      <c r="E2" t="s">
        <v>20</v>
      </c>
      <c r="F2" t="s">
        <v>21</v>
      </c>
      <c r="G2">
        <v>65535</v>
      </c>
      <c r="H2">
        <v>65535</v>
      </c>
      <c r="I2">
        <v>88.979399999999998</v>
      </c>
      <c r="J2">
        <v>306.72399999999999</v>
      </c>
      <c r="K2">
        <v>37.916800000000002</v>
      </c>
      <c r="L2">
        <v>398.62400000000002</v>
      </c>
      <c r="M2">
        <v>0</v>
      </c>
      <c r="N2">
        <v>0</v>
      </c>
      <c r="O2">
        <v>753220</v>
      </c>
      <c r="P2">
        <v>0</v>
      </c>
      <c r="Q2">
        <v>16.020600000000002</v>
      </c>
      <c r="R2">
        <v>40.304099999999998</v>
      </c>
      <c r="S2">
        <v>-51.626199999999997</v>
      </c>
      <c r="T2">
        <v>36.322099999999999</v>
      </c>
      <c r="U2">
        <f>1/(1+EXP($Z$3*(T2-$Z$4)))</f>
        <v>5.4945183378483312E-10</v>
      </c>
      <c r="V2">
        <f>1/(1-U2)</f>
        <v>1.0000000005494518</v>
      </c>
      <c r="W2">
        <f>$Z$5*(1-U2)</f>
        <v>599.99999967032886</v>
      </c>
      <c r="X2">
        <f>($Z$6/(W2*10^6))</f>
        <v>2.0000000010989038E-5</v>
      </c>
      <c r="Y2">
        <f>V2*(X2+$Z$7)</f>
        <v>1.2000000007692327E-4</v>
      </c>
      <c r="Z2" s="2">
        <v>-90</v>
      </c>
      <c r="AA2" t="s">
        <v>24</v>
      </c>
      <c r="AC2">
        <f>MIN(1,$Z$8*Y2)</f>
        <v>1</v>
      </c>
    </row>
    <row r="3" spans="1:29">
      <c r="A3">
        <v>1</v>
      </c>
      <c r="B3">
        <v>10</v>
      </c>
      <c r="C3">
        <v>500</v>
      </c>
      <c r="D3">
        <v>1500</v>
      </c>
      <c r="E3" t="s">
        <v>20</v>
      </c>
      <c r="F3" t="s">
        <v>21</v>
      </c>
      <c r="G3">
        <v>65535</v>
      </c>
      <c r="H3">
        <v>65535</v>
      </c>
      <c r="I3">
        <v>88.964600000000004</v>
      </c>
      <c r="J3">
        <v>306.51499999999999</v>
      </c>
      <c r="K3">
        <v>37.959200000000003</v>
      </c>
      <c r="L3">
        <v>398.89100000000002</v>
      </c>
      <c r="M3">
        <v>5.0722499999999997E-2</v>
      </c>
      <c r="N3">
        <v>382</v>
      </c>
      <c r="O3">
        <v>752735</v>
      </c>
      <c r="P3">
        <v>5.0748300000000003E-2</v>
      </c>
      <c r="Q3">
        <v>16.020600000000002</v>
      </c>
      <c r="R3">
        <v>40.224899999999998</v>
      </c>
      <c r="S3">
        <v>-60.6571</v>
      </c>
      <c r="T3">
        <v>27.2912</v>
      </c>
      <c r="U3">
        <f t="shared" ref="U3:U13" si="0">1/(1+EXP($Z$3*(T3-$Z$4)))</f>
        <v>4.5919554898723601E-6</v>
      </c>
      <c r="V3">
        <f t="shared" ref="V3:V13" si="1">1/(1-U3)</f>
        <v>1.0000045919765761</v>
      </c>
      <c r="W3">
        <f t="shared" ref="W3:W13" si="2">$Z$5*(1-U3)</f>
        <v>599.99724482670604</v>
      </c>
      <c r="X3">
        <f t="shared" ref="X3:X13" si="3">($Z$6/(W3*10^6))</f>
        <v>2.0000091839531522E-5</v>
      </c>
      <c r="Y3">
        <f t="shared" ref="Y3:Y13" si="4">V3*(X3+$Z$7)</f>
        <v>1.2000064287714238E-4</v>
      </c>
      <c r="Z3" s="2">
        <v>1</v>
      </c>
      <c r="AA3" t="s">
        <v>25</v>
      </c>
      <c r="AC3">
        <f t="shared" ref="AC3:AC13" si="5">MIN(1,$Z$8*Y3)</f>
        <v>1</v>
      </c>
    </row>
    <row r="4" spans="1:29">
      <c r="A4">
        <v>1</v>
      </c>
      <c r="B4">
        <v>12.5</v>
      </c>
      <c r="C4">
        <v>500</v>
      </c>
      <c r="D4">
        <v>1500</v>
      </c>
      <c r="E4" t="s">
        <v>20</v>
      </c>
      <c r="F4" t="s">
        <v>21</v>
      </c>
      <c r="G4">
        <v>65535</v>
      </c>
      <c r="H4">
        <v>65535</v>
      </c>
      <c r="I4">
        <v>89.128900000000002</v>
      </c>
      <c r="J4">
        <v>271.68299999999999</v>
      </c>
      <c r="K4">
        <v>45.009300000000003</v>
      </c>
      <c r="L4">
        <v>448.53199999999998</v>
      </c>
      <c r="M4">
        <v>2.7413500000000002</v>
      </c>
      <c r="N4">
        <v>18807</v>
      </c>
      <c r="O4">
        <v>667241</v>
      </c>
      <c r="P4">
        <v>2.8186200000000001</v>
      </c>
      <c r="Q4">
        <v>16.020600000000002</v>
      </c>
      <c r="R4">
        <v>36.403300000000002</v>
      </c>
      <c r="S4">
        <v>-63.564399999999999</v>
      </c>
      <c r="T4">
        <v>24.3843</v>
      </c>
      <c r="U4">
        <f t="shared" si="0"/>
        <v>8.402602131339522E-5</v>
      </c>
      <c r="V4">
        <f t="shared" si="1"/>
        <v>1.0000840330822789</v>
      </c>
      <c r="W4">
        <f t="shared" si="2"/>
        <v>599.94958438721198</v>
      </c>
      <c r="X4">
        <f t="shared" si="3"/>
        <v>2.0001680661645577E-5</v>
      </c>
      <c r="Y4">
        <f t="shared" si="4"/>
        <v>1.2001176477275023E-4</v>
      </c>
      <c r="Z4" s="2">
        <v>15</v>
      </c>
      <c r="AA4" t="s">
        <v>26</v>
      </c>
      <c r="AC4">
        <f t="shared" si="5"/>
        <v>1</v>
      </c>
    </row>
    <row r="5" spans="1:29">
      <c r="A5">
        <v>1</v>
      </c>
      <c r="B5">
        <v>15</v>
      </c>
      <c r="C5">
        <v>500</v>
      </c>
      <c r="D5">
        <v>1500</v>
      </c>
      <c r="E5" t="s">
        <v>20</v>
      </c>
      <c r="F5" t="s">
        <v>21</v>
      </c>
      <c r="G5">
        <v>65535</v>
      </c>
      <c r="H5">
        <v>65535</v>
      </c>
      <c r="I5">
        <v>90.739000000000004</v>
      </c>
      <c r="J5">
        <v>236.768</v>
      </c>
      <c r="K5">
        <v>52.0764</v>
      </c>
      <c r="L5">
        <v>511.70499999999998</v>
      </c>
      <c r="M5">
        <v>0.63557699999999995</v>
      </c>
      <c r="N5">
        <v>3720</v>
      </c>
      <c r="O5">
        <v>581575</v>
      </c>
      <c r="P5">
        <v>0.63964200000000004</v>
      </c>
      <c r="Q5">
        <v>16.020600000000002</v>
      </c>
      <c r="R5">
        <v>39.928100000000001</v>
      </c>
      <c r="S5">
        <v>-65.939800000000005</v>
      </c>
      <c r="T5">
        <v>22.0123</v>
      </c>
      <c r="U5">
        <f t="shared" si="0"/>
        <v>8.9992392220445425E-4</v>
      </c>
      <c r="V5">
        <f t="shared" si="1"/>
        <v>1.0009007345147418</v>
      </c>
      <c r="W5">
        <f t="shared" si="2"/>
        <v>599.46004564667726</v>
      </c>
      <c r="X5">
        <f t="shared" si="3"/>
        <v>2.0018014690294839E-5</v>
      </c>
      <c r="Y5">
        <f t="shared" si="4"/>
        <v>1.2012611905851718E-4</v>
      </c>
      <c r="Z5" s="2">
        <v>600</v>
      </c>
      <c r="AA5" t="s">
        <v>27</v>
      </c>
      <c r="AC5">
        <f t="shared" si="5"/>
        <v>1</v>
      </c>
    </row>
    <row r="6" spans="1:29">
      <c r="A6">
        <v>1</v>
      </c>
      <c r="B6">
        <v>17.5</v>
      </c>
      <c r="C6">
        <v>500</v>
      </c>
      <c r="D6">
        <v>1500</v>
      </c>
      <c r="E6" t="s">
        <v>20</v>
      </c>
      <c r="F6" t="s">
        <v>21</v>
      </c>
      <c r="G6">
        <v>65535</v>
      </c>
      <c r="H6">
        <v>65535</v>
      </c>
      <c r="I6">
        <v>90.171899999999994</v>
      </c>
      <c r="J6">
        <v>224.94499999999999</v>
      </c>
      <c r="K6">
        <v>54.4694</v>
      </c>
      <c r="L6">
        <v>537.99099999999999</v>
      </c>
      <c r="M6">
        <v>4.3727</v>
      </c>
      <c r="N6">
        <v>25265</v>
      </c>
      <c r="O6">
        <v>552524</v>
      </c>
      <c r="P6">
        <v>4.5726500000000003</v>
      </c>
      <c r="Q6">
        <v>16.020600000000002</v>
      </c>
      <c r="R6">
        <v>34.913899999999998</v>
      </c>
      <c r="S6">
        <v>-67.9482</v>
      </c>
      <c r="T6">
        <v>20.0077</v>
      </c>
      <c r="U6">
        <f t="shared" si="0"/>
        <v>6.6418548467009255E-3</v>
      </c>
      <c r="V6">
        <f t="shared" si="1"/>
        <v>1.0066862640419341</v>
      </c>
      <c r="W6">
        <f t="shared" si="2"/>
        <v>596.01488709197952</v>
      </c>
      <c r="X6">
        <f t="shared" si="3"/>
        <v>2.0133725280838681E-5</v>
      </c>
      <c r="Y6">
        <f t="shared" si="4"/>
        <v>1.2093697108840754E-4</v>
      </c>
      <c r="Z6" s="2">
        <f>1500*8</f>
        <v>12000</v>
      </c>
      <c r="AA6" t="s">
        <v>28</v>
      </c>
      <c r="AC6">
        <f t="shared" si="5"/>
        <v>1</v>
      </c>
    </row>
    <row r="7" spans="1:29">
      <c r="A7">
        <v>1</v>
      </c>
      <c r="B7">
        <v>20</v>
      </c>
      <c r="C7">
        <v>500</v>
      </c>
      <c r="D7">
        <v>1500</v>
      </c>
      <c r="E7" t="s">
        <v>20</v>
      </c>
      <c r="F7" t="s">
        <v>21</v>
      </c>
      <c r="G7">
        <v>65535</v>
      </c>
      <c r="H7">
        <v>65535</v>
      </c>
      <c r="I7">
        <v>91.762100000000004</v>
      </c>
      <c r="J7">
        <v>192.22</v>
      </c>
      <c r="K7">
        <v>61.093200000000003</v>
      </c>
      <c r="L7">
        <v>624.54100000000005</v>
      </c>
      <c r="M7">
        <v>1.35286</v>
      </c>
      <c r="N7">
        <v>6476</v>
      </c>
      <c r="O7">
        <v>472214</v>
      </c>
      <c r="P7">
        <v>1.37141</v>
      </c>
      <c r="Q7">
        <v>16.020600000000002</v>
      </c>
      <c r="R7">
        <v>38.747</v>
      </c>
      <c r="S7">
        <v>-69.688000000000002</v>
      </c>
      <c r="T7">
        <v>18.267700000000001</v>
      </c>
      <c r="U7">
        <f t="shared" si="0"/>
        <v>3.6696045418810774E-2</v>
      </c>
      <c r="V7">
        <f t="shared" si="1"/>
        <v>1.0380939424615618</v>
      </c>
      <c r="W7">
        <f t="shared" si="2"/>
        <v>577.98237274871349</v>
      </c>
      <c r="X7">
        <f t="shared" si="3"/>
        <v>2.0761878849231237E-5</v>
      </c>
      <c r="Y7">
        <f t="shared" si="4"/>
        <v>1.2536217491366397E-4</v>
      </c>
      <c r="Z7" s="2">
        <v>1E-4</v>
      </c>
      <c r="AA7" t="s">
        <v>29</v>
      </c>
      <c r="AC7">
        <f t="shared" si="5"/>
        <v>1</v>
      </c>
    </row>
    <row r="8" spans="1:29">
      <c r="A8">
        <v>1</v>
      </c>
      <c r="B8">
        <v>25</v>
      </c>
      <c r="C8">
        <v>500</v>
      </c>
      <c r="D8">
        <v>1500</v>
      </c>
      <c r="E8" t="s">
        <v>20</v>
      </c>
      <c r="F8" t="s">
        <v>21</v>
      </c>
      <c r="G8">
        <v>65535</v>
      </c>
      <c r="H8">
        <v>65535</v>
      </c>
      <c r="I8">
        <v>92.943399999999997</v>
      </c>
      <c r="J8">
        <v>151.84700000000001</v>
      </c>
      <c r="K8">
        <v>69.265100000000004</v>
      </c>
      <c r="L8">
        <v>779.22699999999998</v>
      </c>
      <c r="M8">
        <v>0.93815499999999996</v>
      </c>
      <c r="N8">
        <v>3534</v>
      </c>
      <c r="O8">
        <v>373163</v>
      </c>
      <c r="P8">
        <v>0.94703899999999996</v>
      </c>
      <c r="Q8">
        <v>16.020600000000002</v>
      </c>
      <c r="R8">
        <v>39.384999999999998</v>
      </c>
      <c r="S8">
        <v>-72.595299999999995</v>
      </c>
      <c r="T8">
        <v>15.363</v>
      </c>
      <c r="U8">
        <f t="shared" si="0"/>
        <v>0.41023354501819703</v>
      </c>
      <c r="V8">
        <f t="shared" si="1"/>
        <v>1.6955864334990953</v>
      </c>
      <c r="W8">
        <f t="shared" si="2"/>
        <v>353.85987298908174</v>
      </c>
      <c r="X8">
        <f t="shared" si="3"/>
        <v>3.3911728669981912E-5</v>
      </c>
      <c r="Y8">
        <f t="shared" si="4"/>
        <v>2.270589104192332E-4</v>
      </c>
      <c r="Z8" s="2">
        <f>500000000/(1500*8)</f>
        <v>41666.666666666664</v>
      </c>
      <c r="AA8" t="s">
        <v>30</v>
      </c>
      <c r="AC8">
        <f t="shared" si="5"/>
        <v>1</v>
      </c>
    </row>
    <row r="9" spans="1:29">
      <c r="A9">
        <v>1</v>
      </c>
      <c r="B9">
        <v>30</v>
      </c>
      <c r="C9">
        <v>500</v>
      </c>
      <c r="D9">
        <v>1500</v>
      </c>
      <c r="E9" t="s">
        <v>20</v>
      </c>
      <c r="F9" t="s">
        <v>21</v>
      </c>
      <c r="G9">
        <v>65535</v>
      </c>
      <c r="H9">
        <v>65535</v>
      </c>
      <c r="I9">
        <v>92.346299999999999</v>
      </c>
      <c r="J9">
        <v>141.15700000000001</v>
      </c>
      <c r="K9">
        <v>71.428899999999999</v>
      </c>
      <c r="L9">
        <v>835.32899999999995</v>
      </c>
      <c r="M9">
        <v>6.9287700000000001</v>
      </c>
      <c r="N9">
        <v>25827</v>
      </c>
      <c r="O9">
        <v>346923</v>
      </c>
      <c r="P9">
        <v>7.4445899999999998</v>
      </c>
      <c r="Q9">
        <v>16.020600000000002</v>
      </c>
      <c r="R9">
        <v>32.195599999999999</v>
      </c>
      <c r="S9">
        <v>-74.970699999999994</v>
      </c>
      <c r="T9">
        <v>12.9886</v>
      </c>
      <c r="U9">
        <f t="shared" si="0"/>
        <v>0.88198881849606037</v>
      </c>
      <c r="V9">
        <f t="shared" si="1"/>
        <v>8.4737733090708574</v>
      </c>
      <c r="W9">
        <f t="shared" si="2"/>
        <v>70.806708902363781</v>
      </c>
      <c r="X9">
        <f t="shared" si="3"/>
        <v>1.6947546618141713E-4</v>
      </c>
      <c r="Y9">
        <f t="shared" si="4"/>
        <v>2.2834740127775188E-3</v>
      </c>
      <c r="AC9">
        <f t="shared" si="5"/>
        <v>1</v>
      </c>
    </row>
    <row r="10" spans="1:29">
      <c r="A10">
        <v>1</v>
      </c>
      <c r="B10">
        <v>35</v>
      </c>
      <c r="C10">
        <v>500</v>
      </c>
      <c r="D10">
        <v>1500</v>
      </c>
      <c r="E10" t="s">
        <v>20</v>
      </c>
      <c r="F10" t="s">
        <v>21</v>
      </c>
      <c r="G10">
        <v>65535</v>
      </c>
      <c r="H10">
        <v>65535</v>
      </c>
      <c r="I10">
        <v>94.153800000000004</v>
      </c>
      <c r="J10">
        <v>103.98399999999999</v>
      </c>
      <c r="K10">
        <v>78.9529</v>
      </c>
      <c r="L10">
        <v>1105.56</v>
      </c>
      <c r="M10">
        <v>1.60365</v>
      </c>
      <c r="N10">
        <v>4167</v>
      </c>
      <c r="O10">
        <v>255677</v>
      </c>
      <c r="P10">
        <v>1.6297900000000001</v>
      </c>
      <c r="Q10">
        <v>16.020600000000002</v>
      </c>
      <c r="R10">
        <v>38.306199999999997</v>
      </c>
      <c r="S10">
        <v>-76.979100000000003</v>
      </c>
      <c r="T10">
        <v>10.9739</v>
      </c>
      <c r="U10">
        <f t="shared" si="0"/>
        <v>0.98246903360831372</v>
      </c>
      <c r="V10">
        <f t="shared" si="1"/>
        <v>57.04192100181259</v>
      </c>
      <c r="W10">
        <f t="shared" si="2"/>
        <v>10.518579835011765</v>
      </c>
      <c r="X10">
        <f t="shared" si="3"/>
        <v>1.1408384200362518E-3</v>
      </c>
      <c r="Y10">
        <f t="shared" si="4"/>
        <v>7.0779807131721828E-2</v>
      </c>
      <c r="AC10">
        <f t="shared" si="5"/>
        <v>1</v>
      </c>
    </row>
    <row r="11" spans="1:29">
      <c r="A11">
        <v>1</v>
      </c>
      <c r="B11">
        <v>40</v>
      </c>
      <c r="C11">
        <v>500</v>
      </c>
      <c r="D11">
        <v>1500</v>
      </c>
      <c r="E11" t="s">
        <v>20</v>
      </c>
      <c r="F11" t="s">
        <v>21</v>
      </c>
      <c r="G11">
        <v>65535</v>
      </c>
      <c r="H11">
        <v>65535</v>
      </c>
      <c r="I11">
        <v>92.466999999999999</v>
      </c>
      <c r="J11">
        <v>67.741299999999995</v>
      </c>
      <c r="K11">
        <v>86.288700000000006</v>
      </c>
      <c r="L11">
        <v>1627.51</v>
      </c>
      <c r="M11">
        <v>33.798699999999997</v>
      </c>
      <c r="N11">
        <v>85139</v>
      </c>
      <c r="O11">
        <v>166761</v>
      </c>
      <c r="P11">
        <v>51.054499999999997</v>
      </c>
      <c r="Q11">
        <v>16.020600000000002</v>
      </c>
      <c r="R11">
        <v>16.289400000000001</v>
      </c>
      <c r="S11">
        <v>-78.718900000000005</v>
      </c>
      <c r="T11">
        <v>9.2626899999999992</v>
      </c>
      <c r="U11">
        <f t="shared" si="0"/>
        <v>0.99678692945681369</v>
      </c>
      <c r="V11">
        <f t="shared" si="1"/>
        <v>311.22877215398063</v>
      </c>
      <c r="W11">
        <f t="shared" si="2"/>
        <v>1.9278423259117883</v>
      </c>
      <c r="X11">
        <f t="shared" si="3"/>
        <v>6.2245754430796125E-3</v>
      </c>
      <c r="Y11">
        <f t="shared" si="4"/>
        <v>1.9683898495448859</v>
      </c>
      <c r="AC11">
        <f t="shared" si="5"/>
        <v>1</v>
      </c>
    </row>
    <row r="12" spans="1:29">
      <c r="A12">
        <v>1</v>
      </c>
      <c r="B12">
        <v>42.5</v>
      </c>
      <c r="C12">
        <v>500</v>
      </c>
      <c r="D12">
        <v>1500</v>
      </c>
      <c r="E12" t="s">
        <v>20</v>
      </c>
      <c r="F12" t="s">
        <v>21</v>
      </c>
      <c r="G12">
        <v>65535</v>
      </c>
      <c r="H12">
        <v>65535</v>
      </c>
      <c r="I12">
        <v>94.687700000000007</v>
      </c>
      <c r="J12">
        <v>78.376599999999996</v>
      </c>
      <c r="K12">
        <v>84.135999999999996</v>
      </c>
      <c r="L12">
        <v>1427.49</v>
      </c>
      <c r="M12">
        <v>2.1224699999999999</v>
      </c>
      <c r="N12">
        <v>4182</v>
      </c>
      <c r="O12">
        <v>192853</v>
      </c>
      <c r="P12">
        <v>2.1684899999999998</v>
      </c>
      <c r="Q12">
        <v>16.020600000000002</v>
      </c>
      <c r="R12">
        <v>35.216200000000001</v>
      </c>
      <c r="S12">
        <v>-79.508799999999994</v>
      </c>
      <c r="T12">
        <v>8.44435</v>
      </c>
      <c r="U12">
        <f t="shared" si="0"/>
        <v>0.99857996114925196</v>
      </c>
      <c r="V12">
        <f t="shared" si="1"/>
        <v>704.20608525831938</v>
      </c>
      <c r="W12">
        <f t="shared" si="2"/>
        <v>0.85202331044882396</v>
      </c>
      <c r="X12">
        <f t="shared" si="3"/>
        <v>1.4084121705166387E-2</v>
      </c>
      <c r="Y12">
        <f t="shared" si="4"/>
        <v>9.9885448188227794</v>
      </c>
      <c r="AC12">
        <f t="shared" si="5"/>
        <v>1</v>
      </c>
    </row>
    <row r="13" spans="1:29">
      <c r="A13">
        <v>1</v>
      </c>
      <c r="B13">
        <v>45</v>
      </c>
      <c r="C13">
        <v>500</v>
      </c>
      <c r="D13">
        <v>1500</v>
      </c>
      <c r="E13" t="s">
        <v>20</v>
      </c>
      <c r="F13" t="s">
        <v>21</v>
      </c>
      <c r="G13">
        <v>65535</v>
      </c>
      <c r="H13">
        <v>65535</v>
      </c>
      <c r="I13">
        <v>94.642399999999995</v>
      </c>
      <c r="J13">
        <v>72.403199999999998</v>
      </c>
      <c r="K13">
        <v>85.345100000000002</v>
      </c>
      <c r="L13">
        <v>1540.06</v>
      </c>
      <c r="M13">
        <v>2.8383500000000002</v>
      </c>
      <c r="N13">
        <v>5205</v>
      </c>
      <c r="O13">
        <v>178176</v>
      </c>
      <c r="P13">
        <v>2.9212699999999998</v>
      </c>
      <c r="Q13">
        <v>16.020600000000002</v>
      </c>
      <c r="R13">
        <v>32.419400000000003</v>
      </c>
      <c r="S13">
        <v>-80.253500000000003</v>
      </c>
      <c r="T13">
        <v>7.7057099999999998</v>
      </c>
      <c r="U13">
        <f t="shared" si="0"/>
        <v>0.99932105414540029</v>
      </c>
      <c r="V13">
        <f t="shared" si="1"/>
        <v>1472.8715010559638</v>
      </c>
      <c r="W13">
        <f t="shared" si="2"/>
        <v>0.40736751275982641</v>
      </c>
      <c r="X13">
        <f t="shared" si="3"/>
        <v>2.9457430021119273E-2</v>
      </c>
      <c r="Y13">
        <f t="shared" si="4"/>
        <v>43.534296322562547</v>
      </c>
      <c r="AC13">
        <f t="shared" si="5"/>
        <v>1</v>
      </c>
    </row>
    <row r="14" spans="1:29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</row>
    <row r="15" spans="1:29">
      <c r="A15">
        <v>1</v>
      </c>
      <c r="B15">
        <v>5</v>
      </c>
      <c r="C15">
        <v>200</v>
      </c>
      <c r="D15">
        <v>1500</v>
      </c>
      <c r="E15" t="s">
        <v>20</v>
      </c>
      <c r="F15" t="s">
        <v>21</v>
      </c>
      <c r="G15">
        <v>65535</v>
      </c>
      <c r="H15">
        <v>65535</v>
      </c>
      <c r="I15">
        <v>69.7453</v>
      </c>
      <c r="J15">
        <v>197.517</v>
      </c>
      <c r="K15">
        <v>5.2989700000000001E-2</v>
      </c>
      <c r="L15">
        <v>28.511399999999998</v>
      </c>
      <c r="M15">
        <v>1.1138500000000001E-2</v>
      </c>
      <c r="N15">
        <v>54</v>
      </c>
      <c r="O15">
        <v>484752</v>
      </c>
      <c r="P15">
        <v>1.1139700000000001E-2</v>
      </c>
      <c r="Q15">
        <v>16.020600000000002</v>
      </c>
      <c r="R15">
        <v>7.7193300000000002</v>
      </c>
      <c r="S15">
        <v>-51.626199999999997</v>
      </c>
      <c r="T15">
        <v>36.323</v>
      </c>
    </row>
    <row r="16" spans="1:29">
      <c r="A16">
        <v>1</v>
      </c>
      <c r="B16">
        <v>10</v>
      </c>
      <c r="C16">
        <v>200</v>
      </c>
      <c r="D16">
        <v>1500</v>
      </c>
      <c r="E16" t="s">
        <v>20</v>
      </c>
      <c r="F16" t="s">
        <v>21</v>
      </c>
      <c r="G16">
        <v>65535</v>
      </c>
      <c r="H16">
        <v>65535</v>
      </c>
      <c r="I16">
        <v>69.754599999999996</v>
      </c>
      <c r="J16">
        <v>197.517</v>
      </c>
      <c r="K16">
        <v>5.25773E-2</v>
      </c>
      <c r="L16">
        <v>28.5137</v>
      </c>
      <c r="M16">
        <v>5.7110000000000001E-2</v>
      </c>
      <c r="N16">
        <v>277</v>
      </c>
      <c r="O16">
        <v>484752</v>
      </c>
      <c r="P16">
        <v>5.7142600000000002E-2</v>
      </c>
      <c r="Q16">
        <v>16.020600000000002</v>
      </c>
      <c r="R16">
        <v>7.7241600000000004</v>
      </c>
      <c r="S16">
        <v>-60.6571</v>
      </c>
      <c r="T16">
        <v>27.292100000000001</v>
      </c>
    </row>
    <row r="17" spans="1:20">
      <c r="A17">
        <v>1</v>
      </c>
      <c r="B17">
        <v>11</v>
      </c>
      <c r="C17">
        <v>200</v>
      </c>
      <c r="D17">
        <v>1500</v>
      </c>
      <c r="E17" t="s">
        <v>20</v>
      </c>
      <c r="F17" t="s">
        <v>21</v>
      </c>
      <c r="G17">
        <v>65535</v>
      </c>
      <c r="H17">
        <v>65535</v>
      </c>
      <c r="I17">
        <v>70.157799999999995</v>
      </c>
      <c r="J17">
        <v>197.517</v>
      </c>
      <c r="K17">
        <v>5.2783499999999997E-2</v>
      </c>
      <c r="L17">
        <v>28.556100000000001</v>
      </c>
      <c r="M17">
        <v>1.20852</v>
      </c>
      <c r="N17">
        <v>5930</v>
      </c>
      <c r="O17">
        <v>484751</v>
      </c>
      <c r="P17">
        <v>1.2233099999999999</v>
      </c>
      <c r="Q17">
        <v>16.020600000000002</v>
      </c>
      <c r="R17">
        <v>7.8394399999999997</v>
      </c>
      <c r="S17">
        <v>-61.898899999999998</v>
      </c>
      <c r="T17">
        <v>26.0503</v>
      </c>
    </row>
    <row r="18" spans="1:20">
      <c r="A18">
        <v>1</v>
      </c>
      <c r="B18">
        <v>12</v>
      </c>
      <c r="C18">
        <v>200</v>
      </c>
      <c r="D18">
        <v>1500</v>
      </c>
      <c r="E18" t="s">
        <v>20</v>
      </c>
      <c r="F18" t="s">
        <v>21</v>
      </c>
      <c r="G18">
        <v>65535</v>
      </c>
      <c r="H18">
        <v>65535</v>
      </c>
      <c r="I18">
        <v>73.394499999999994</v>
      </c>
      <c r="J18">
        <v>197.51499999999999</v>
      </c>
      <c r="K18">
        <v>5.4020600000000002E-2</v>
      </c>
      <c r="L18">
        <v>28.974799999999998</v>
      </c>
      <c r="M18">
        <v>0.74226400000000003</v>
      </c>
      <c r="N18">
        <v>3625</v>
      </c>
      <c r="O18">
        <v>484746</v>
      </c>
      <c r="P18">
        <v>0.74781399999999998</v>
      </c>
      <c r="Q18">
        <v>16.020600000000002</v>
      </c>
      <c r="R18">
        <v>8.9112799999999996</v>
      </c>
      <c r="S18">
        <v>-63.032499999999999</v>
      </c>
      <c r="T18">
        <v>24.916899999999998</v>
      </c>
    </row>
    <row r="19" spans="1:20">
      <c r="A19">
        <v>1</v>
      </c>
      <c r="B19">
        <v>13</v>
      </c>
      <c r="C19">
        <v>200</v>
      </c>
      <c r="D19">
        <v>1500</v>
      </c>
      <c r="E19" t="s">
        <v>20</v>
      </c>
      <c r="F19" t="s">
        <v>21</v>
      </c>
      <c r="G19">
        <v>65535</v>
      </c>
      <c r="H19">
        <v>65535</v>
      </c>
      <c r="I19">
        <v>76.611900000000006</v>
      </c>
      <c r="J19">
        <v>197.48400000000001</v>
      </c>
      <c r="K19">
        <v>6.9690699999999994E-2</v>
      </c>
      <c r="L19">
        <v>33.799900000000001</v>
      </c>
      <c r="M19">
        <v>8.3942599999999992</v>
      </c>
      <c r="N19">
        <v>44413</v>
      </c>
      <c r="O19">
        <v>484675</v>
      </c>
      <c r="P19">
        <v>9.1634600000000006</v>
      </c>
      <c r="Q19">
        <v>16.020600000000002</v>
      </c>
      <c r="R19">
        <v>10.3315</v>
      </c>
      <c r="S19">
        <v>-64.075400000000002</v>
      </c>
      <c r="T19">
        <v>23.874300000000002</v>
      </c>
    </row>
    <row r="20" spans="1:20">
      <c r="A20">
        <v>1</v>
      </c>
      <c r="B20">
        <v>13.5</v>
      </c>
      <c r="C20">
        <v>200</v>
      </c>
      <c r="D20">
        <v>1500</v>
      </c>
      <c r="E20" t="s">
        <v>20</v>
      </c>
      <c r="F20" t="s">
        <v>21</v>
      </c>
      <c r="G20">
        <v>65535</v>
      </c>
      <c r="H20">
        <v>65535</v>
      </c>
      <c r="I20">
        <v>80.869299999999996</v>
      </c>
      <c r="J20">
        <v>197.43799999999999</v>
      </c>
      <c r="K20">
        <v>9.2783500000000005E-2</v>
      </c>
      <c r="L20">
        <v>41.7468</v>
      </c>
      <c r="M20">
        <v>1.9297800000000001</v>
      </c>
      <c r="N20">
        <v>9535</v>
      </c>
      <c r="O20">
        <v>484563</v>
      </c>
      <c r="P20">
        <v>1.9677500000000001</v>
      </c>
      <c r="Q20">
        <v>16.020600000000002</v>
      </c>
      <c r="R20">
        <v>13.1571</v>
      </c>
      <c r="S20">
        <v>-64.567099999999996</v>
      </c>
      <c r="T20">
        <v>23.3826</v>
      </c>
    </row>
    <row r="21" spans="1:20">
      <c r="A21">
        <v>1</v>
      </c>
      <c r="B21">
        <v>14</v>
      </c>
      <c r="C21">
        <v>200</v>
      </c>
      <c r="D21">
        <v>1500</v>
      </c>
      <c r="E21" t="s">
        <v>20</v>
      </c>
      <c r="F21" t="s">
        <v>21</v>
      </c>
      <c r="G21">
        <v>65535</v>
      </c>
      <c r="H21">
        <v>65535</v>
      </c>
      <c r="I21">
        <v>81.471299999999999</v>
      </c>
      <c r="J21">
        <v>196.84399999999999</v>
      </c>
      <c r="K21">
        <v>0.39340199999999997</v>
      </c>
      <c r="L21">
        <v>64.992099999999994</v>
      </c>
      <c r="M21">
        <v>1.40534</v>
      </c>
      <c r="N21">
        <v>6886</v>
      </c>
      <c r="O21">
        <v>483103</v>
      </c>
      <c r="P21">
        <v>1.42537</v>
      </c>
      <c r="Q21">
        <v>16.020600000000002</v>
      </c>
      <c r="R21">
        <v>13.631600000000001</v>
      </c>
      <c r="S21">
        <v>-65.040899999999993</v>
      </c>
      <c r="T21">
        <v>22.9101</v>
      </c>
    </row>
    <row r="22" spans="1:20">
      <c r="A22">
        <v>1</v>
      </c>
      <c r="B22">
        <v>15</v>
      </c>
      <c r="C22">
        <v>200</v>
      </c>
      <c r="D22">
        <v>1500</v>
      </c>
      <c r="E22" t="s">
        <v>20</v>
      </c>
      <c r="F22" t="s">
        <v>21</v>
      </c>
      <c r="G22">
        <v>65535</v>
      </c>
      <c r="H22">
        <v>65535</v>
      </c>
      <c r="I22">
        <v>81.650700000000001</v>
      </c>
      <c r="J22">
        <v>196.83</v>
      </c>
      <c r="K22">
        <v>0.40020600000000001</v>
      </c>
      <c r="L22">
        <v>65.066500000000005</v>
      </c>
      <c r="M22">
        <v>1.8814</v>
      </c>
      <c r="N22">
        <v>9263</v>
      </c>
      <c r="O22">
        <v>483082</v>
      </c>
      <c r="P22">
        <v>1.9174800000000001</v>
      </c>
      <c r="Q22">
        <v>16.020600000000002</v>
      </c>
      <c r="R22">
        <v>13.8675</v>
      </c>
      <c r="S22">
        <v>-65.939800000000005</v>
      </c>
      <c r="T22">
        <v>22.0136</v>
      </c>
    </row>
    <row r="23" spans="1:20">
      <c r="A23">
        <v>1</v>
      </c>
      <c r="B23">
        <v>20</v>
      </c>
      <c r="C23">
        <v>200</v>
      </c>
      <c r="D23">
        <v>1500</v>
      </c>
      <c r="E23" t="s">
        <v>20</v>
      </c>
      <c r="F23" t="s">
        <v>21</v>
      </c>
      <c r="G23">
        <v>65535</v>
      </c>
      <c r="H23">
        <v>65535</v>
      </c>
      <c r="I23">
        <v>91.717699999999994</v>
      </c>
      <c r="J23">
        <v>192.05199999999999</v>
      </c>
      <c r="K23">
        <v>2.8183500000000001</v>
      </c>
      <c r="L23">
        <v>281.23500000000001</v>
      </c>
      <c r="M23">
        <v>1.3693</v>
      </c>
      <c r="N23">
        <v>6544</v>
      </c>
      <c r="O23">
        <v>471366</v>
      </c>
      <c r="P23">
        <v>1.3883099999999999</v>
      </c>
      <c r="Q23">
        <v>16.020600000000002</v>
      </c>
      <c r="R23">
        <v>38.385100000000001</v>
      </c>
      <c r="S23">
        <v>-69.688000000000002</v>
      </c>
      <c r="T23">
        <v>18.267499999999998</v>
      </c>
    </row>
    <row r="24" spans="1:20">
      <c r="A24">
        <v>1</v>
      </c>
      <c r="B24">
        <v>25</v>
      </c>
      <c r="C24">
        <v>200</v>
      </c>
      <c r="D24">
        <v>1500</v>
      </c>
      <c r="E24" t="s">
        <v>20</v>
      </c>
      <c r="F24" t="s">
        <v>21</v>
      </c>
      <c r="G24">
        <v>65535</v>
      </c>
      <c r="H24">
        <v>65535</v>
      </c>
      <c r="I24">
        <v>92.943399999999997</v>
      </c>
      <c r="J24">
        <v>151.84700000000001</v>
      </c>
      <c r="K24">
        <v>23.162700000000001</v>
      </c>
      <c r="L24">
        <v>759.59</v>
      </c>
      <c r="M24">
        <v>0.93815499999999996</v>
      </c>
      <c r="N24">
        <v>3534</v>
      </c>
      <c r="O24">
        <v>373163</v>
      </c>
      <c r="P24">
        <v>0.94703899999999996</v>
      </c>
      <c r="Q24">
        <v>16.020600000000002</v>
      </c>
      <c r="R24">
        <v>39.384999999999998</v>
      </c>
      <c r="S24">
        <v>-72.595299999999995</v>
      </c>
      <c r="T24">
        <v>15.363</v>
      </c>
    </row>
    <row r="25" spans="1:20">
      <c r="A25">
        <v>1</v>
      </c>
      <c r="B25">
        <v>35</v>
      </c>
      <c r="C25">
        <v>200</v>
      </c>
      <c r="D25">
        <v>1500</v>
      </c>
      <c r="E25" t="s">
        <v>20</v>
      </c>
      <c r="F25" t="s">
        <v>21</v>
      </c>
      <c r="G25">
        <v>65535</v>
      </c>
      <c r="H25">
        <v>65535</v>
      </c>
      <c r="I25">
        <v>94.153800000000004</v>
      </c>
      <c r="J25">
        <v>103.98399999999999</v>
      </c>
      <c r="K25">
        <v>47.382300000000001</v>
      </c>
      <c r="L25">
        <v>1084.76</v>
      </c>
      <c r="M25">
        <v>1.60365</v>
      </c>
      <c r="N25">
        <v>4167</v>
      </c>
      <c r="O25">
        <v>255677</v>
      </c>
      <c r="P25">
        <v>1.6297900000000001</v>
      </c>
      <c r="Q25">
        <v>16.020600000000002</v>
      </c>
      <c r="R25">
        <v>38.306199999999997</v>
      </c>
      <c r="S25">
        <v>-76.979100000000003</v>
      </c>
      <c r="T25">
        <v>10.9739</v>
      </c>
    </row>
    <row r="26" spans="1:20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  <c r="Q26" t="s">
        <v>16</v>
      </c>
      <c r="R26" t="s">
        <v>17</v>
      </c>
      <c r="S26" t="s">
        <v>18</v>
      </c>
      <c r="T26" t="s">
        <v>19</v>
      </c>
    </row>
    <row r="27" spans="1:20">
      <c r="A27">
        <v>1</v>
      </c>
      <c r="B27">
        <v>5</v>
      </c>
      <c r="C27">
        <v>300</v>
      </c>
      <c r="D27">
        <v>1500</v>
      </c>
      <c r="E27" t="s">
        <v>20</v>
      </c>
      <c r="F27" t="s">
        <v>21</v>
      </c>
      <c r="G27">
        <v>65535</v>
      </c>
      <c r="H27">
        <v>65535</v>
      </c>
      <c r="I27">
        <v>86.1387</v>
      </c>
      <c r="J27">
        <v>290.58800000000002</v>
      </c>
      <c r="K27">
        <v>1.9715499999999999</v>
      </c>
      <c r="L27">
        <v>87.554000000000002</v>
      </c>
      <c r="M27">
        <v>0</v>
      </c>
      <c r="N27">
        <v>0</v>
      </c>
      <c r="O27">
        <v>713178</v>
      </c>
      <c r="P27">
        <v>0</v>
      </c>
      <c r="Q27">
        <v>16.020600000000002</v>
      </c>
      <c r="R27">
        <v>28.31</v>
      </c>
      <c r="S27">
        <v>-51.626199999999997</v>
      </c>
      <c r="T27">
        <v>36.322299999999998</v>
      </c>
    </row>
    <row r="28" spans="1:20">
      <c r="A28">
        <v>1</v>
      </c>
      <c r="B28">
        <v>10</v>
      </c>
      <c r="C28">
        <v>300</v>
      </c>
      <c r="D28">
        <v>1500</v>
      </c>
      <c r="E28" t="s">
        <v>20</v>
      </c>
      <c r="F28" t="s">
        <v>21</v>
      </c>
      <c r="G28">
        <v>65535</v>
      </c>
      <c r="H28">
        <v>65535</v>
      </c>
      <c r="I28">
        <v>86.163399999999996</v>
      </c>
      <c r="J28">
        <v>290.57400000000001</v>
      </c>
      <c r="K28">
        <v>1.9762200000000001</v>
      </c>
      <c r="L28">
        <v>88.010900000000007</v>
      </c>
      <c r="M28">
        <v>7.3142600000000002E-2</v>
      </c>
      <c r="N28">
        <v>522</v>
      </c>
      <c r="O28">
        <v>713152</v>
      </c>
      <c r="P28">
        <v>7.3196200000000003E-2</v>
      </c>
      <c r="Q28">
        <v>16.020600000000002</v>
      </c>
      <c r="R28">
        <v>28.382999999999999</v>
      </c>
      <c r="S28">
        <v>-60.6571</v>
      </c>
      <c r="T28">
        <v>27.291399999999999</v>
      </c>
    </row>
    <row r="29" spans="1:20">
      <c r="A29">
        <v>1</v>
      </c>
      <c r="B29">
        <v>15</v>
      </c>
      <c r="C29">
        <v>300</v>
      </c>
      <c r="D29">
        <v>1500</v>
      </c>
      <c r="E29" t="s">
        <v>20</v>
      </c>
      <c r="F29" t="s">
        <v>21</v>
      </c>
      <c r="G29">
        <v>65535</v>
      </c>
      <c r="H29">
        <v>65535</v>
      </c>
      <c r="I29">
        <v>90.739000000000004</v>
      </c>
      <c r="J29">
        <v>236.768</v>
      </c>
      <c r="K29">
        <v>20.127300000000002</v>
      </c>
      <c r="L29">
        <v>508.49099999999999</v>
      </c>
      <c r="M29">
        <v>0.63557699999999995</v>
      </c>
      <c r="N29">
        <v>3720</v>
      </c>
      <c r="O29">
        <v>581575</v>
      </c>
      <c r="P29">
        <v>0.63964200000000004</v>
      </c>
      <c r="Q29">
        <v>16.020600000000002</v>
      </c>
      <c r="R29">
        <v>39.928100000000001</v>
      </c>
      <c r="S29">
        <v>-65.939800000000005</v>
      </c>
      <c r="T29">
        <v>22.0123</v>
      </c>
    </row>
    <row r="30" spans="1:20">
      <c r="A30">
        <v>1</v>
      </c>
      <c r="B30">
        <v>20</v>
      </c>
      <c r="C30">
        <v>300</v>
      </c>
      <c r="D30">
        <v>1500</v>
      </c>
      <c r="E30" t="s">
        <v>20</v>
      </c>
      <c r="F30" t="s">
        <v>21</v>
      </c>
      <c r="G30">
        <v>65535</v>
      </c>
      <c r="H30">
        <v>65535</v>
      </c>
      <c r="I30">
        <v>91.762100000000004</v>
      </c>
      <c r="J30">
        <v>192.22</v>
      </c>
      <c r="K30">
        <v>35.155299999999997</v>
      </c>
      <c r="L30">
        <v>620.66499999999996</v>
      </c>
      <c r="M30">
        <v>1.35286</v>
      </c>
      <c r="N30">
        <v>6476</v>
      </c>
      <c r="O30">
        <v>472214</v>
      </c>
      <c r="P30">
        <v>1.37141</v>
      </c>
      <c r="Q30">
        <v>16.020600000000002</v>
      </c>
      <c r="R30">
        <v>38.747</v>
      </c>
      <c r="S30">
        <v>-69.688000000000002</v>
      </c>
      <c r="T30">
        <v>18.267700000000001</v>
      </c>
    </row>
    <row r="31" spans="1:20">
      <c r="A31">
        <v>1</v>
      </c>
      <c r="B31">
        <v>25</v>
      </c>
      <c r="C31">
        <v>300</v>
      </c>
      <c r="D31">
        <v>1500</v>
      </c>
      <c r="E31" t="s">
        <v>20</v>
      </c>
      <c r="F31" t="s">
        <v>21</v>
      </c>
      <c r="G31">
        <v>65535</v>
      </c>
      <c r="H31">
        <v>65535</v>
      </c>
      <c r="I31">
        <v>92.943399999999997</v>
      </c>
      <c r="J31">
        <v>151.84700000000001</v>
      </c>
      <c r="K31">
        <v>48.775100000000002</v>
      </c>
      <c r="L31">
        <v>774.40300000000002</v>
      </c>
      <c r="M31">
        <v>0.93815499999999996</v>
      </c>
      <c r="N31">
        <v>3534</v>
      </c>
      <c r="O31">
        <v>373163</v>
      </c>
      <c r="P31">
        <v>0.94703899999999996</v>
      </c>
      <c r="Q31">
        <v>16.020600000000002</v>
      </c>
      <c r="R31">
        <v>39.384999999999998</v>
      </c>
      <c r="S31">
        <v>-72.595299999999995</v>
      </c>
      <c r="T31">
        <v>15.363</v>
      </c>
    </row>
    <row r="32" spans="1:20">
      <c r="A32">
        <v>1</v>
      </c>
      <c r="B32">
        <v>30</v>
      </c>
      <c r="C32">
        <v>300</v>
      </c>
      <c r="D32">
        <v>1500</v>
      </c>
      <c r="E32" t="s">
        <v>20</v>
      </c>
      <c r="F32" t="s">
        <v>21</v>
      </c>
      <c r="G32">
        <v>65535</v>
      </c>
      <c r="H32">
        <v>65535</v>
      </c>
      <c r="I32">
        <v>92.346299999999999</v>
      </c>
      <c r="J32">
        <v>141.15700000000001</v>
      </c>
      <c r="K32">
        <v>52.381399999999999</v>
      </c>
      <c r="L32">
        <v>830.20799999999997</v>
      </c>
      <c r="M32">
        <v>6.9287700000000001</v>
      </c>
      <c r="N32">
        <v>25827</v>
      </c>
      <c r="O32">
        <v>346923</v>
      </c>
      <c r="P32">
        <v>7.4445899999999998</v>
      </c>
      <c r="Q32">
        <v>16.020600000000002</v>
      </c>
      <c r="R32">
        <v>32.195599999999999</v>
      </c>
      <c r="S32">
        <v>-74.970699999999994</v>
      </c>
      <c r="T32">
        <v>12.9886</v>
      </c>
    </row>
    <row r="33" spans="1:20">
      <c r="A33">
        <v>1</v>
      </c>
      <c r="B33">
        <v>35</v>
      </c>
      <c r="C33">
        <v>300</v>
      </c>
      <c r="D33">
        <v>1500</v>
      </c>
      <c r="E33" t="s">
        <v>20</v>
      </c>
      <c r="F33" t="s">
        <v>21</v>
      </c>
      <c r="G33">
        <v>65535</v>
      </c>
      <c r="H33">
        <v>65535</v>
      </c>
      <c r="I33">
        <v>94.153800000000004</v>
      </c>
      <c r="J33">
        <v>103.98399999999999</v>
      </c>
      <c r="K33">
        <v>64.921499999999995</v>
      </c>
      <c r="L33">
        <v>1098.7</v>
      </c>
      <c r="M33">
        <v>1.60365</v>
      </c>
      <c r="N33">
        <v>4167</v>
      </c>
      <c r="O33">
        <v>255677</v>
      </c>
      <c r="P33">
        <v>1.6297900000000001</v>
      </c>
      <c r="Q33">
        <v>16.020600000000002</v>
      </c>
      <c r="R33">
        <v>38.306199999999997</v>
      </c>
      <c r="S33">
        <v>-76.979100000000003</v>
      </c>
      <c r="T33">
        <v>10.9739</v>
      </c>
    </row>
    <row r="34" spans="1:20">
      <c r="A34">
        <v>1</v>
      </c>
      <c r="B34">
        <v>40</v>
      </c>
      <c r="C34">
        <v>300</v>
      </c>
      <c r="D34">
        <v>1500</v>
      </c>
      <c r="E34" t="s">
        <v>20</v>
      </c>
      <c r="F34" t="s">
        <v>21</v>
      </c>
      <c r="G34">
        <v>65535</v>
      </c>
      <c r="H34">
        <v>65535</v>
      </c>
      <c r="I34">
        <v>92.466999999999999</v>
      </c>
      <c r="J34">
        <v>67.741299999999995</v>
      </c>
      <c r="K34">
        <v>77.147800000000004</v>
      </c>
      <c r="L34">
        <v>1619.47</v>
      </c>
      <c r="M34">
        <v>33.798699999999997</v>
      </c>
      <c r="N34">
        <v>85139</v>
      </c>
      <c r="O34">
        <v>166761</v>
      </c>
      <c r="P34">
        <v>51.054499999999997</v>
      </c>
      <c r="Q34">
        <v>16.020600000000002</v>
      </c>
      <c r="R34">
        <v>16.289400000000001</v>
      </c>
      <c r="S34">
        <v>-78.718900000000005</v>
      </c>
      <c r="T34">
        <v>9.2626899999999992</v>
      </c>
    </row>
    <row r="35" spans="1:20">
      <c r="A35">
        <v>1</v>
      </c>
      <c r="B35">
        <v>45</v>
      </c>
      <c r="C35">
        <v>300</v>
      </c>
      <c r="D35">
        <v>1500</v>
      </c>
      <c r="E35" t="s">
        <v>20</v>
      </c>
      <c r="F35" t="s">
        <v>21</v>
      </c>
      <c r="G35">
        <v>65535</v>
      </c>
      <c r="H35">
        <v>65535</v>
      </c>
      <c r="I35">
        <v>94.642399999999995</v>
      </c>
      <c r="J35">
        <v>72.403199999999998</v>
      </c>
      <c r="K35">
        <v>75.575100000000006</v>
      </c>
      <c r="L35">
        <v>1533.52</v>
      </c>
      <c r="M35">
        <v>2.8383500000000002</v>
      </c>
      <c r="N35">
        <v>5205</v>
      </c>
      <c r="O35">
        <v>178176</v>
      </c>
      <c r="P35">
        <v>2.9212699999999998</v>
      </c>
      <c r="Q35">
        <v>16.020600000000002</v>
      </c>
      <c r="R35">
        <v>32.419400000000003</v>
      </c>
      <c r="S35">
        <v>-80.253500000000003</v>
      </c>
      <c r="T35">
        <v>7.7057099999999998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169C-6834-CF4D-91EB-B2A937BA144A}">
  <dimension ref="A2:T8"/>
  <sheetViews>
    <sheetView zoomScale="62" workbookViewId="0">
      <selection activeCell="C19" sqref="C19"/>
    </sheetView>
  </sheetViews>
  <sheetFormatPr baseColWidth="10" defaultRowHeight="20"/>
  <sheetData>
    <row r="2" spans="1:20">
      <c r="A2">
        <v>1</v>
      </c>
      <c r="B2">
        <v>5</v>
      </c>
      <c r="C2">
        <v>300</v>
      </c>
      <c r="D2">
        <v>1500</v>
      </c>
      <c r="E2" t="s">
        <v>20</v>
      </c>
      <c r="F2" t="s">
        <v>21</v>
      </c>
      <c r="G2">
        <v>65535</v>
      </c>
      <c r="H2">
        <v>65535</v>
      </c>
      <c r="I2">
        <v>86.1387</v>
      </c>
      <c r="J2">
        <v>290.58800000000002</v>
      </c>
      <c r="K2">
        <v>1.9715499999999999</v>
      </c>
      <c r="L2">
        <v>87.554000000000002</v>
      </c>
      <c r="M2">
        <v>0</v>
      </c>
      <c r="N2">
        <v>0</v>
      </c>
      <c r="O2">
        <v>713178</v>
      </c>
      <c r="P2">
        <v>0</v>
      </c>
      <c r="Q2">
        <v>16.020600000000002</v>
      </c>
      <c r="R2">
        <v>28.31</v>
      </c>
      <c r="S2">
        <v>-51.626199999999997</v>
      </c>
      <c r="T2">
        <v>36.322299999999998</v>
      </c>
    </row>
    <row r="3" spans="1:20">
      <c r="A3">
        <v>1</v>
      </c>
      <c r="B3">
        <v>10</v>
      </c>
      <c r="C3">
        <v>300</v>
      </c>
      <c r="D3">
        <v>1500</v>
      </c>
      <c r="E3" t="s">
        <v>20</v>
      </c>
      <c r="F3" t="s">
        <v>21</v>
      </c>
      <c r="G3">
        <v>65535</v>
      </c>
      <c r="H3">
        <v>65535</v>
      </c>
      <c r="I3">
        <v>86.163399999999996</v>
      </c>
      <c r="J3">
        <v>290.57400000000001</v>
      </c>
      <c r="K3">
        <v>1.9762200000000001</v>
      </c>
      <c r="L3">
        <v>88.010900000000007</v>
      </c>
      <c r="M3">
        <v>7.3142600000000002E-2</v>
      </c>
      <c r="N3">
        <v>522</v>
      </c>
      <c r="O3">
        <v>713152</v>
      </c>
      <c r="P3">
        <v>7.3196200000000003E-2</v>
      </c>
      <c r="Q3">
        <v>16.020600000000002</v>
      </c>
      <c r="R3">
        <v>28.382999999999999</v>
      </c>
      <c r="S3">
        <v>-60.6571</v>
      </c>
      <c r="T3">
        <v>27.291399999999999</v>
      </c>
    </row>
    <row r="4" spans="1:20">
      <c r="A4">
        <v>1</v>
      </c>
      <c r="B4">
        <v>15</v>
      </c>
      <c r="C4">
        <v>300</v>
      </c>
      <c r="D4">
        <v>1500</v>
      </c>
      <c r="E4" t="s">
        <v>20</v>
      </c>
      <c r="F4" t="s">
        <v>21</v>
      </c>
      <c r="G4">
        <v>65535</v>
      </c>
      <c r="H4">
        <v>65535</v>
      </c>
      <c r="I4">
        <v>90.739000000000004</v>
      </c>
      <c r="J4">
        <v>236.768</v>
      </c>
      <c r="K4">
        <v>20.127300000000002</v>
      </c>
      <c r="L4">
        <v>508.49099999999999</v>
      </c>
      <c r="M4">
        <v>0.63557699999999995</v>
      </c>
      <c r="N4">
        <v>3720</v>
      </c>
      <c r="O4">
        <v>581575</v>
      </c>
      <c r="P4">
        <v>0.63964200000000004</v>
      </c>
      <c r="Q4">
        <v>16.020600000000002</v>
      </c>
      <c r="R4">
        <v>39.928100000000001</v>
      </c>
      <c r="S4">
        <v>-65.939800000000005</v>
      </c>
      <c r="T4">
        <v>22.0123</v>
      </c>
    </row>
    <row r="5" spans="1:20">
      <c r="A5">
        <v>1</v>
      </c>
      <c r="B5">
        <v>20</v>
      </c>
      <c r="C5">
        <v>300</v>
      </c>
      <c r="D5">
        <v>1500</v>
      </c>
      <c r="E5" t="s">
        <v>20</v>
      </c>
      <c r="F5" t="s">
        <v>21</v>
      </c>
      <c r="G5">
        <v>65535</v>
      </c>
      <c r="H5">
        <v>65535</v>
      </c>
      <c r="I5">
        <v>91.762100000000004</v>
      </c>
      <c r="J5">
        <v>192.22</v>
      </c>
      <c r="K5">
        <v>35.155299999999997</v>
      </c>
      <c r="L5">
        <v>620.66499999999996</v>
      </c>
      <c r="M5">
        <v>1.35286</v>
      </c>
      <c r="N5">
        <v>6476</v>
      </c>
      <c r="O5">
        <v>472214</v>
      </c>
      <c r="P5">
        <v>1.37141</v>
      </c>
      <c r="Q5">
        <v>16.020600000000002</v>
      </c>
      <c r="R5">
        <v>38.747</v>
      </c>
      <c r="S5">
        <v>-69.688000000000002</v>
      </c>
      <c r="T5">
        <v>18.267700000000001</v>
      </c>
    </row>
    <row r="6" spans="1:20">
      <c r="A6">
        <v>1</v>
      </c>
      <c r="B6">
        <v>25</v>
      </c>
      <c r="C6">
        <v>300</v>
      </c>
      <c r="D6">
        <v>1500</v>
      </c>
      <c r="E6" t="s">
        <v>20</v>
      </c>
      <c r="F6" t="s">
        <v>21</v>
      </c>
      <c r="G6">
        <v>65535</v>
      </c>
      <c r="H6">
        <v>65535</v>
      </c>
      <c r="I6">
        <v>92.943399999999997</v>
      </c>
      <c r="J6">
        <v>151.84700000000001</v>
      </c>
      <c r="K6">
        <v>48.775100000000002</v>
      </c>
      <c r="L6">
        <v>774.40300000000002</v>
      </c>
      <c r="M6">
        <v>0.93815499999999996</v>
      </c>
      <c r="N6">
        <v>3534</v>
      </c>
      <c r="O6">
        <v>373163</v>
      </c>
      <c r="P6">
        <v>0.94703899999999996</v>
      </c>
      <c r="Q6">
        <v>16.020600000000002</v>
      </c>
      <c r="R6">
        <v>39.384999999999998</v>
      </c>
      <c r="S6">
        <v>-72.595299999999995</v>
      </c>
      <c r="T6">
        <v>15.363</v>
      </c>
    </row>
    <row r="7" spans="1:20">
      <c r="A7">
        <v>1</v>
      </c>
      <c r="B7">
        <v>30</v>
      </c>
      <c r="C7">
        <v>300</v>
      </c>
      <c r="D7">
        <v>1500</v>
      </c>
      <c r="E7" t="s">
        <v>20</v>
      </c>
      <c r="F7" t="s">
        <v>21</v>
      </c>
      <c r="G7">
        <v>65535</v>
      </c>
      <c r="H7">
        <v>65535</v>
      </c>
      <c r="I7">
        <v>92.346299999999999</v>
      </c>
      <c r="J7">
        <v>141.15700000000001</v>
      </c>
      <c r="K7">
        <v>52.381399999999999</v>
      </c>
      <c r="L7">
        <v>830.20799999999997</v>
      </c>
      <c r="M7">
        <v>6.9287700000000001</v>
      </c>
      <c r="N7">
        <v>25827</v>
      </c>
      <c r="O7">
        <v>346923</v>
      </c>
      <c r="P7">
        <v>7.4445899999999998</v>
      </c>
      <c r="Q7">
        <v>16.020600000000002</v>
      </c>
      <c r="R7">
        <v>32.195599999999999</v>
      </c>
      <c r="S7">
        <v>-74.970699999999994</v>
      </c>
      <c r="T7">
        <v>12.9886</v>
      </c>
    </row>
    <row r="8" spans="1:20">
      <c r="A8">
        <v>1</v>
      </c>
      <c r="B8">
        <v>35</v>
      </c>
      <c r="C8">
        <v>300</v>
      </c>
      <c r="D8">
        <v>1500</v>
      </c>
      <c r="E8" t="s">
        <v>20</v>
      </c>
      <c r="F8" t="s">
        <v>21</v>
      </c>
      <c r="G8">
        <v>65535</v>
      </c>
      <c r="H8">
        <v>65535</v>
      </c>
      <c r="I8">
        <v>94.153800000000004</v>
      </c>
      <c r="J8">
        <v>103.98399999999999</v>
      </c>
      <c r="K8">
        <v>64.921499999999995</v>
      </c>
      <c r="L8">
        <v>1098.7</v>
      </c>
      <c r="M8">
        <v>1.60365</v>
      </c>
      <c r="N8">
        <v>4167</v>
      </c>
      <c r="O8">
        <v>255677</v>
      </c>
      <c r="P8">
        <v>1.6297900000000001</v>
      </c>
      <c r="Q8">
        <v>16.020600000000002</v>
      </c>
      <c r="R8">
        <v>38.306199999999997</v>
      </c>
      <c r="S8">
        <v>-76.979100000000003</v>
      </c>
      <c r="T8">
        <v>10.9739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2026-01-12T08:35:11Z</dcterms:created>
  <dcterms:modified xsi:type="dcterms:W3CDTF">2026-02-26T08:02:20Z</dcterms:modified>
</cp:coreProperties>
</file>